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philipp\GitHub\wai_ind\code\"/>
    </mc:Choice>
  </mc:AlternateContent>
  <xr:revisionPtr revIDLastSave="0" documentId="13_ncr:1_{975A8848-B417-4402-A276-140B2ED0E15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variables" sheetId="2" r:id="rId1"/>
    <sheet name="datastream request" sheetId="3" r:id="rId2"/>
  </sheets>
  <definedNames>
    <definedName name="_xlnm._FilterDatabase" localSheetId="0" hidden="1">variables!$A$1:$K$46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Philipp Kronenberg</author>
  </authors>
  <commentList>
    <comment ref="A1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=DSGRID("SWPURCHSQ,SWUN%TOTQ,SWGBOND.,SWCONPRCE,SWPROPRCE,SWCPCOREF,SWREAEXFG,SWRTFOBPG,SWRTNFEFG,SWRTINCOG,SWRTHOUEG,SWRTCURGG,SWRTOTHGG,SWPMIORDQ,SWPMIPROQ,FINANSW,CODISSW,COSTPSW,INDUSSW,SWISSMI","MNEM;DS.EXPNAME;ESRCE;DS.UNIT;BDATE","-0D","","","RowHeader=true;ColHeader=true;DispSeriesDescription=true;DispDatatypeDescription=true","")</t>
        </r>
      </text>
    </comment>
  </commentList>
</comments>
</file>

<file path=xl/sharedStrings.xml><?xml version="1.0" encoding="utf-8"?>
<sst xmlns="http://schemas.openxmlformats.org/spreadsheetml/2006/main" count="540" uniqueCount="208">
  <si>
    <t>ch.snb.zimoma.3m0</t>
  </si>
  <si>
    <t>SWUN%TOTQ</t>
  </si>
  <si>
    <t>SWGBOND.</t>
  </si>
  <si>
    <t>SWCONPRCE</t>
  </si>
  <si>
    <t>SWPROPRCE</t>
  </si>
  <si>
    <t>SWCPCOREF</t>
  </si>
  <si>
    <t>keys</t>
  </si>
  <si>
    <t>trendecon</t>
  </si>
  <si>
    <t>ch.seco.gdp.real.gdp.ssa</t>
  </si>
  <si>
    <t>oev_freq_hardbruecke</t>
  </si>
  <si>
    <t>oev_freq_hb</t>
  </si>
  <si>
    <t>tages_distanz_median</t>
  </si>
  <si>
    <t>debiteinsatz_ausland</t>
  </si>
  <si>
    <t>bezug_bargeld</t>
  </si>
  <si>
    <t>stat_einkauf</t>
  </si>
  <si>
    <t>aufkommen_miv</t>
  </si>
  <si>
    <t>anz_kktrans_ch</t>
  </si>
  <si>
    <t>SWPURCHSQ</t>
  </si>
  <si>
    <t>ch.kof.bts_total.ng08.fx.q_ql_ass_bs.balance.d11</t>
  </si>
  <si>
    <t>ch.kof.inu.ng08.fx.q_ql_ass_bs.balance.d11</t>
  </si>
  <si>
    <t>ch.kof.bau.ng08.fx.q_ql_ass_bs.balance.d11</t>
  </si>
  <si>
    <t>ch.kof.fvu.ng08.fx.q_ql_ass_bs.balance.d11</t>
  </si>
  <si>
    <t>ch.kof.aiu.ng08.fx.q_ql_ass_bs.balance.d11</t>
  </si>
  <si>
    <t>SWRTHOUEG</t>
  </si>
  <si>
    <t>SWREAEXFG</t>
  </si>
  <si>
    <t>SWRTFOBPG</t>
  </si>
  <si>
    <t>SWRTNFEFG</t>
  </si>
  <si>
    <t>SWRTINCOG</t>
  </si>
  <si>
    <t>SWRTCURGG</t>
  </si>
  <si>
    <t>SWRTOTHGG</t>
  </si>
  <si>
    <t>SWPMIORDQ</t>
  </si>
  <si>
    <t>SWPMIPROQ</t>
  </si>
  <si>
    <t>FINANSW</t>
  </si>
  <si>
    <t>CODISSW</t>
  </si>
  <si>
    <t>COSTPSW</t>
  </si>
  <si>
    <t>INDUSSW</t>
  </si>
  <si>
    <t>SWISSMI</t>
  </si>
  <si>
    <t>Arbeitsmarkt</t>
  </si>
  <si>
    <t>traffic_PW</t>
  </si>
  <si>
    <t>traffic_LW</t>
  </si>
  <si>
    <t>Lkw-Maut-Fahrleistungsindex_DE</t>
  </si>
  <si>
    <t>electricity_out</t>
  </si>
  <si>
    <t>electricity_in</t>
  </si>
  <si>
    <t>zrh_airport_departure</t>
  </si>
  <si>
    <t>zrh_airport_arrivals</t>
  </si>
  <si>
    <t>ch.kof.inu.ng08.fx.sector_mig.cap_gd.q_ql_ass_bs.balance.d11</t>
  </si>
  <si>
    <t>ch.kof.inu.ng08.fx.sector_mig.cons_dr.q_ql_ass_bs.balance.d11</t>
  </si>
  <si>
    <t>ch.kof.inu.ng08.fx.sector_mig.cons_gd.q_ql_ass_bs.balance.d11</t>
  </si>
  <si>
    <t>ch.kof.inu.ng08.fx.sector_mig.imd_gd.q_ql_ass_bs.balance.d11</t>
  </si>
  <si>
    <t>Switzerland, Business Surveys, Purchasing Managers Index, Manufacturing Sector, Total, SA</t>
  </si>
  <si>
    <t>CREDIT SUISSE GROUP</t>
  </si>
  <si>
    <t>Index (Diffusion)</t>
  </si>
  <si>
    <t>Switzerland, Unemployed, Rate, SA</t>
  </si>
  <si>
    <t>SECO STATE SECRETARIAT-ECONOMIC AFFAIRS</t>
  </si>
  <si>
    <t>Percentage</t>
  </si>
  <si>
    <t>Switzerland, Confederation Bond Yield - 10 Years</t>
  </si>
  <si>
    <t>SWISS NATIONAL BANK (SNB)</t>
  </si>
  <si>
    <t>Switzerland, Consumer Price Index, SA, Index, 2015M12 = 100</t>
  </si>
  <si>
    <t>SWISS ECONOMIC INSTITUTE (KOF)</t>
  </si>
  <si>
    <t>Index</t>
  </si>
  <si>
    <t>Switzerland, Producer Prices, Total, SA, Index, 2015M12 = 100</t>
  </si>
  <si>
    <t>Switzerland, Consumer Prices, Excluding Fresh and Seasonal Products, Energy and Fuel (Core Inflation 1), Index, 2015M12 = 100</t>
  </si>
  <si>
    <t>SWISS FEDERAL STATISTICAL OFFICE</t>
  </si>
  <si>
    <t>Switzerland, Retail Sales, Total, Excluding Service Stations (Fuel Station), Constant Prices, SA, Index, 2015 = 100</t>
  </si>
  <si>
    <t>Switzerland, Retail Sales, Food, Beverage and Tobacco, Constant Prices, SA, Index, 2015 = 100</t>
  </si>
  <si>
    <t>Switzerland, Retail Sales, Non-Food, Excluding Service Stations (Fuel Stations), Constant Prices, SA, Index, 2015 = 100</t>
  </si>
  <si>
    <t>Switzerland, Retail Sales, Information and Communication Equipment, Constant Prices, SA, Index, 2015 = 100</t>
  </si>
  <si>
    <t>Switzerland, Retail Sales, Household Equipment, Constant Prices, SA, Index, 2015 = 100</t>
  </si>
  <si>
    <t>Switzerland, Retail Sales, Culture and Recreation Goods, Constant Prices, SA, Index, 2015 = 100</t>
  </si>
  <si>
    <t>Switzerland, Retail Sales, Other Goods, Constant Prices, SA, Index, 2015 = 100</t>
  </si>
  <si>
    <t>Switzerland, Business Surveys, Purchasing Managers Index, Manufacturing Sector, Backlog of Orders, SA</t>
  </si>
  <si>
    <t>Switzerland, Business Surveys, Purchasing Managers Index, Manufacturing Sector, Output, SA</t>
  </si>
  <si>
    <t>Switzerland-Datastream Financials</t>
  </si>
  <si>
    <t>NA</t>
  </si>
  <si>
    <t>DATATYPE_NOT_FOUND</t>
  </si>
  <si>
    <t>Switzerlan-Datastream Consumer Discretionary</t>
  </si>
  <si>
    <t>Switzerlan-Datastream Consumer Staples</t>
  </si>
  <si>
    <t>Switzerland-Datastream Industrials</t>
  </si>
  <si>
    <t xml:space="preserve">Swiss Market (SMI) </t>
  </si>
  <si>
    <t>MNEMONIC</t>
  </si>
  <si>
    <t>DS.EXPNAME</t>
  </si>
  <si>
    <t>EC.SERIES SOURCE</t>
  </si>
  <si>
    <t>DS.UNIT</t>
  </si>
  <si>
    <t>BASE OR ST DATE</t>
  </si>
  <si>
    <t>Name</t>
  </si>
  <si>
    <t>Unit</t>
  </si>
  <si>
    <t>Start Date</t>
  </si>
  <si>
    <t>CHF</t>
  </si>
  <si>
    <t xml:space="preserve">Swiss Market Index (SMI) </t>
  </si>
  <si>
    <t>kWh</t>
  </si>
  <si>
    <t>Actual</t>
  </si>
  <si>
    <t>Swissgrid</t>
  </si>
  <si>
    <t>km</t>
  </si>
  <si>
    <t>CHF, in Millions</t>
  </si>
  <si>
    <t>Net Balance</t>
  </si>
  <si>
    <t>datastream</t>
  </si>
  <si>
    <t>ktzh</t>
  </si>
  <si>
    <t>postgres</t>
  </si>
  <si>
    <t>google_trends</t>
  </si>
  <si>
    <t>ASTRA</t>
  </si>
  <si>
    <t>Destatis</t>
  </si>
  <si>
    <t>swissgrid</t>
  </si>
  <si>
    <t>Flughafen Zürich</t>
  </si>
  <si>
    <t>Retail Sales, Culture and Recreation Goods, Constant Prices</t>
  </si>
  <si>
    <t>Purchasing Managers Index, Manufacturing Sector, Backlog of Orders</t>
  </si>
  <si>
    <t>Purchasing Managers Index, Manufacturing Sector, Output</t>
  </si>
  <si>
    <t>Public Transport Passenger Frequency, Zurich Main Station</t>
  </si>
  <si>
    <t>Public Transport Passenger Frequency, Zurich Hardbruecke</t>
  </si>
  <si>
    <t>Swiss Debit Card Transactions Abroad, Volume in CHF</t>
  </si>
  <si>
    <t>10-Year Confederation Bond Yield</t>
  </si>
  <si>
    <t>Producer Prices Index</t>
  </si>
  <si>
    <t>Purchasing Managers Index, Manufacturing Sector</t>
  </si>
  <si>
    <t>Consumer Price Index, Total</t>
  </si>
  <si>
    <t>Retail Sales, Total</t>
  </si>
  <si>
    <t>Retail Sales, Food, Beverage and Tobacco</t>
  </si>
  <si>
    <t>Retail Sales, Non-Food</t>
  </si>
  <si>
    <t>Retail Sales, Information and Communication Equipment</t>
  </si>
  <si>
    <t>Retail Sales, Household Equipment</t>
  </si>
  <si>
    <t>Retail Sales, Other Goods</t>
  </si>
  <si>
    <t>Private Transport Frequency, Important Counting Stations, Zurich</t>
  </si>
  <si>
    <t>Median Day Distance of Representative Swiss Population Sample</t>
  </si>
  <si>
    <t>Cash Withdrawals, Swiss-Wide Volume in CHF</t>
  </si>
  <si>
    <t>Non-Online Retail Sales, Swiss-Wide Volume in CHF</t>
  </si>
  <si>
    <t>Credit Card Transactions, Swiss-Wide Frequency</t>
  </si>
  <si>
    <t>3-Month CHF LIBOR</t>
  </si>
  <si>
    <t>Gross Domestic Product, Adjusted for International Sport Events</t>
  </si>
  <si>
    <t>Frequency</t>
  </si>
  <si>
    <t>Flow</t>
  </si>
  <si>
    <t>Metasource</t>
  </si>
  <si>
    <t>Source</t>
  </si>
  <si>
    <t>Passenger Car Frequency, Counting Stations on Major Swiss Motorways</t>
  </si>
  <si>
    <t>Truck Frequency, Counting Stations on Major Swiss Motorways</t>
  </si>
  <si>
    <t>Truck-Toll Mileage Index, Germany</t>
  </si>
  <si>
    <t>Energy Consumed by Swiss End Users</t>
  </si>
  <si>
    <t>Energy Production in Switzerland</t>
  </si>
  <si>
    <t>Total Flight Arrivals, Zurich Airport</t>
  </si>
  <si>
    <t>Total Flight Departures, Zurich Airport</t>
  </si>
  <si>
    <t>intervista</t>
  </si>
  <si>
    <t>Zurich Airport</t>
  </si>
  <si>
    <t>Alternative</t>
  </si>
  <si>
    <t>Financial</t>
  </si>
  <si>
    <t>Survey</t>
  </si>
  <si>
    <t>Prices</t>
  </si>
  <si>
    <t>No</t>
  </si>
  <si>
    <t>Yes</t>
  </si>
  <si>
    <t>Category</t>
  </si>
  <si>
    <t>Actual, in Thousands</t>
  </si>
  <si>
    <t>CHF, Real Prices</t>
  </si>
  <si>
    <t>Transformation</t>
  </si>
  <si>
    <t>SECO</t>
  </si>
  <si>
    <t xml:space="preserve">KOF </t>
  </si>
  <si>
    <t>KOF</t>
  </si>
  <si>
    <t>Business Situation Assessment, Manufacturing</t>
  </si>
  <si>
    <t>Business Situation Assessment, Construction</t>
  </si>
  <si>
    <t>Business Situation Assessment, Project Engineering</t>
  </si>
  <si>
    <t>Business Situation Assessment, Finance &amp; Insurance</t>
  </si>
  <si>
    <t>Business Situation Assessment, All Industries</t>
  </si>
  <si>
    <t xml:space="preserve">Business Situation Assessment, Manufacturing Investment Goods </t>
  </si>
  <si>
    <t>Business Situation Assessment, Manufacturing Durable Goods</t>
  </si>
  <si>
    <t>Business Situation Assessment, Manufacturing Consumption Goods</t>
  </si>
  <si>
    <t xml:space="preserve">Business Situation Assessment, Manufacturing Intermediate Goods, </t>
  </si>
  <si>
    <t>Swiss Stock Market Index, Industrials</t>
  </si>
  <si>
    <t>Datastream</t>
  </si>
  <si>
    <t>Retail</t>
  </si>
  <si>
    <t>Google Search Index, Perceived Economic Situation</t>
  </si>
  <si>
    <t>Google Search Index, Perceived Labour Market Situation</t>
  </si>
  <si>
    <t>Consumer Price Index, Excl. Energy, Fresh &amp; Seasonal Products</t>
  </si>
  <si>
    <t>None</t>
  </si>
  <si>
    <t>Detrended</t>
  </si>
  <si>
    <t>Log Difference</t>
  </si>
  <si>
    <t>Production</t>
  </si>
  <si>
    <t>mobility_retail_and_recreation</t>
  </si>
  <si>
    <t>mobility_grocery_and_pharmacy</t>
  </si>
  <si>
    <t>mobility_parks</t>
  </si>
  <si>
    <t>mobility_transit_stations</t>
  </si>
  <si>
    <t>mobility_workplaces</t>
  </si>
  <si>
    <t>mobility_residential</t>
  </si>
  <si>
    <t>Google COVID-19 Community Mobility Reports, Retail and Recreation</t>
  </si>
  <si>
    <t>Google COVID-19 Community Mobility Reports, Grocery and Pharmacy</t>
  </si>
  <si>
    <t>Google COVID-19 Community Mobility Reports, Parks</t>
  </si>
  <si>
    <t>Google</t>
  </si>
  <si>
    <t>Google COVID-19 Community Mobility Reports, Transit Stations</t>
  </si>
  <si>
    <t>Google COVID-19 Community Mobility Reports, Workplaces</t>
  </si>
  <si>
    <t>Google COVID-19 Community Mobility Reports, Residential</t>
  </si>
  <si>
    <t>Index, 2015M12=100</t>
  </si>
  <si>
    <t>Index, 2015=100</t>
  </si>
  <si>
    <t>SBB</t>
  </si>
  <si>
    <t>SNB</t>
  </si>
  <si>
    <t>SPA</t>
  </si>
  <si>
    <t>StatistikZH</t>
  </si>
  <si>
    <t>SIX Group</t>
  </si>
  <si>
    <t>ch.ozd.e.wa.index.re.d11</t>
  </si>
  <si>
    <t>Switzerland, Export: Total, Real, SA, Index (1997=100)</t>
  </si>
  <si>
    <t>Trade</t>
  </si>
  <si>
    <t>ch.ozd.i.wa.index.re.d11</t>
  </si>
  <si>
    <t>Switzerland, Import: Total, Real, SA, Index (1997=100)</t>
  </si>
  <si>
    <t>ch.fso.rtt.ind.r.noga0801.sa</t>
  </si>
  <si>
    <t>ch.fso.rtt.ind.r.noga0803.sa</t>
  </si>
  <si>
    <t>ch.fso.rtt.ind.r.noga0804.sa</t>
  </si>
  <si>
    <t>ch.fso.rtt.ind.r.noga0805.sa</t>
  </si>
  <si>
    <t>ch.fso.rtt.ind.r.noga0806.sa</t>
  </si>
  <si>
    <t>ch.fso.rtt.ind.r.noga0807.sa</t>
  </si>
  <si>
    <t>ch.fso.rtt.ind.r.noga0808.sa</t>
  </si>
  <si>
    <t>Swiss Stock Market Index, Financials</t>
  </si>
  <si>
    <t>FSO</t>
  </si>
  <si>
    <t>FOCBS</t>
  </si>
  <si>
    <t>procure.ch \&amp; UBS</t>
  </si>
  <si>
    <t>trendEcon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</si>
</sst>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Inherit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14" fontId="0" fillId="0" borderId="0" xfId="0" applyNumberFormat="1"/>
    <xf numFmtId="0" fontId="2" fillId="0" borderId="0" xfId="1"/>
    <xf numFmtId="0" fontId="1" fillId="0" borderId="0" xfId="1" applyFont="1"/>
    <xf numFmtId="0" fontId="0" fillId="2" borderId="0" xfId="0" applyFill="1"/>
    <xf numFmtId="0" fontId="2" fillId="2" borderId="0" xfId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Normal 2" xfId="1" xr:uid="{600E9304-901A-475B-B913-18044A99C0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C10" sqref="C10"/>
    </sheetView>
  </sheetViews>
  <sheetFormatPr defaultColWidth="11.42578125" defaultRowHeight="15"/>
  <cols>
    <col min="1" max="1" width="55.7109375" customWidth="1"/>
    <col min="2" max="2" width="61.28515625" customWidth="1"/>
    <col min="3" max="3" width="17.42578125" customWidth="1"/>
    <col min="10" max="10" width="20.28515625" customWidth="1"/>
  </cols>
  <sheetData>
    <row r="1" spans="1:11">
      <c r="A1" s="7" t="s">
        <v>6</v>
      </c>
      <c r="B1" t="s">
        <v>84</v>
      </c>
      <c r="C1" t="s">
        <v>129</v>
      </c>
      <c r="D1" t="s">
        <v>128</v>
      </c>
      <c r="E1" t="s">
        <v>145</v>
      </c>
      <c r="F1" t="s">
        <v>139</v>
      </c>
      <c r="G1" t="s">
        <v>85</v>
      </c>
      <c r="H1" t="s">
        <v>86</v>
      </c>
      <c r="I1" t="s">
        <v>126</v>
      </c>
      <c r="J1" t="s">
        <v>148</v>
      </c>
      <c r="K1" t="s">
        <v>127</v>
      </c>
    </row>
    <row r="2" spans="1:11">
      <c r="A2" s="7" t="s">
        <v>2</v>
      </c>
      <c r="B2" t="s">
        <v>109</v>
      </c>
      <c r="C2" t="s">
        <v>187</v>
      </c>
      <c r="D2" t="s">
        <v>95</v>
      </c>
      <c r="E2" t="s">
        <v>140</v>
      </c>
      <c r="F2" t="s">
        <v>143</v>
      </c>
      <c r="G2" t="s">
        <v>54</v>
      </c>
      <c r="H2" s="2"/>
      <c r="I2">
        <v>12</v>
      </c>
      <c r="J2" t="s">
        <v>168</v>
      </c>
      <c r="K2">
        <v>0</v>
      </c>
    </row>
    <row r="3" spans="1:11">
      <c r="A3" s="7" t="s">
        <v>3</v>
      </c>
      <c r="B3" t="s">
        <v>112</v>
      </c>
      <c r="C3" t="s">
        <v>204</v>
      </c>
      <c r="D3" t="s">
        <v>95</v>
      </c>
      <c r="E3" t="s">
        <v>142</v>
      </c>
      <c r="F3" t="s">
        <v>143</v>
      </c>
      <c r="G3" t="s">
        <v>184</v>
      </c>
      <c r="H3" s="2"/>
      <c r="I3">
        <v>12</v>
      </c>
      <c r="J3" t="s">
        <v>169</v>
      </c>
      <c r="K3">
        <v>1</v>
      </c>
    </row>
    <row r="4" spans="1:11">
      <c r="A4" s="7" t="s">
        <v>4</v>
      </c>
      <c r="B4" t="s">
        <v>110</v>
      </c>
      <c r="C4" t="s">
        <v>204</v>
      </c>
      <c r="D4" t="s">
        <v>95</v>
      </c>
      <c r="E4" t="s">
        <v>142</v>
      </c>
      <c r="F4" t="s">
        <v>143</v>
      </c>
      <c r="G4" t="s">
        <v>184</v>
      </c>
      <c r="H4" s="2"/>
      <c r="I4">
        <v>12</v>
      </c>
      <c r="J4" t="s">
        <v>169</v>
      </c>
      <c r="K4">
        <v>1</v>
      </c>
    </row>
    <row r="5" spans="1:11">
      <c r="A5" s="7" t="s">
        <v>5</v>
      </c>
      <c r="B5" t="s">
        <v>166</v>
      </c>
      <c r="C5" t="s">
        <v>204</v>
      </c>
      <c r="D5" t="s">
        <v>95</v>
      </c>
      <c r="E5" t="s">
        <v>142</v>
      </c>
      <c r="F5" t="s">
        <v>143</v>
      </c>
      <c r="G5" t="s">
        <v>184</v>
      </c>
      <c r="H5" s="2"/>
      <c r="I5">
        <v>12</v>
      </c>
      <c r="J5" t="s">
        <v>169</v>
      </c>
      <c r="K5">
        <v>1</v>
      </c>
    </row>
    <row r="6" spans="1:11">
      <c r="A6" s="5" t="s">
        <v>196</v>
      </c>
      <c r="B6" t="s">
        <v>113</v>
      </c>
      <c r="C6" t="s">
        <v>204</v>
      </c>
      <c r="D6" t="s">
        <v>204</v>
      </c>
      <c r="E6" t="s">
        <v>163</v>
      </c>
      <c r="F6" t="s">
        <v>143</v>
      </c>
      <c r="G6" t="s">
        <v>185</v>
      </c>
      <c r="H6" s="2"/>
      <c r="I6">
        <v>12</v>
      </c>
      <c r="J6" t="s">
        <v>169</v>
      </c>
      <c r="K6">
        <v>1</v>
      </c>
    </row>
    <row r="7" spans="1:11">
      <c r="A7" s="5" t="s">
        <v>197</v>
      </c>
      <c r="B7" t="s">
        <v>114</v>
      </c>
      <c r="C7" t="s">
        <v>204</v>
      </c>
      <c r="D7" t="s">
        <v>204</v>
      </c>
      <c r="E7" t="s">
        <v>163</v>
      </c>
      <c r="F7" t="s">
        <v>143</v>
      </c>
      <c r="G7" t="s">
        <v>185</v>
      </c>
      <c r="H7" s="2"/>
      <c r="I7">
        <v>12</v>
      </c>
      <c r="J7" t="s">
        <v>169</v>
      </c>
      <c r="K7">
        <v>1</v>
      </c>
    </row>
    <row r="8" spans="1:11">
      <c r="A8" s="5" t="s">
        <v>198</v>
      </c>
      <c r="B8" t="s">
        <v>115</v>
      </c>
      <c r="C8" t="s">
        <v>204</v>
      </c>
      <c r="D8" t="s">
        <v>204</v>
      </c>
      <c r="E8" t="s">
        <v>163</v>
      </c>
      <c r="F8" t="s">
        <v>143</v>
      </c>
      <c r="G8" t="s">
        <v>185</v>
      </c>
      <c r="H8" s="2"/>
      <c r="I8">
        <v>12</v>
      </c>
      <c r="J8" t="s">
        <v>169</v>
      </c>
      <c r="K8">
        <v>1</v>
      </c>
    </row>
    <row r="9" spans="1:11">
      <c r="A9" s="5" t="s">
        <v>199</v>
      </c>
      <c r="B9" t="s">
        <v>116</v>
      </c>
      <c r="C9" t="s">
        <v>204</v>
      </c>
      <c r="D9" t="s">
        <v>204</v>
      </c>
      <c r="E9" t="s">
        <v>163</v>
      </c>
      <c r="F9" t="s">
        <v>143</v>
      </c>
      <c r="G9" t="s">
        <v>185</v>
      </c>
      <c r="H9" s="2"/>
      <c r="I9">
        <v>12</v>
      </c>
      <c r="J9" t="s">
        <v>169</v>
      </c>
      <c r="K9">
        <v>1</v>
      </c>
    </row>
    <row r="10" spans="1:11">
      <c r="A10" s="5" t="s">
        <v>200</v>
      </c>
      <c r="B10" t="s">
        <v>117</v>
      </c>
      <c r="C10" t="s">
        <v>204</v>
      </c>
      <c r="D10" t="s">
        <v>204</v>
      </c>
      <c r="E10" t="s">
        <v>163</v>
      </c>
      <c r="F10" t="s">
        <v>143</v>
      </c>
      <c r="G10" t="s">
        <v>185</v>
      </c>
      <c r="H10" s="2"/>
      <c r="I10">
        <v>12</v>
      </c>
      <c r="J10" t="s">
        <v>169</v>
      </c>
      <c r="K10">
        <v>1</v>
      </c>
    </row>
    <row r="11" spans="1:11">
      <c r="A11" s="5" t="s">
        <v>201</v>
      </c>
      <c r="B11" t="s">
        <v>103</v>
      </c>
      <c r="C11" t="s">
        <v>204</v>
      </c>
      <c r="D11" t="s">
        <v>204</v>
      </c>
      <c r="E11" t="s">
        <v>163</v>
      </c>
      <c r="F11" t="s">
        <v>143</v>
      </c>
      <c r="G11" t="s">
        <v>185</v>
      </c>
      <c r="H11" s="2"/>
      <c r="I11">
        <v>12</v>
      </c>
      <c r="J11" t="s">
        <v>169</v>
      </c>
      <c r="K11">
        <v>1</v>
      </c>
    </row>
    <row r="12" spans="1:11">
      <c r="A12" s="5" t="s">
        <v>202</v>
      </c>
      <c r="B12" t="s">
        <v>118</v>
      </c>
      <c r="C12" t="s">
        <v>204</v>
      </c>
      <c r="D12" t="s">
        <v>204</v>
      </c>
      <c r="E12" t="s">
        <v>163</v>
      </c>
      <c r="F12" t="s">
        <v>143</v>
      </c>
      <c r="G12" t="s">
        <v>185</v>
      </c>
      <c r="H12" s="2"/>
      <c r="I12">
        <v>12</v>
      </c>
      <c r="J12" t="s">
        <v>169</v>
      </c>
      <c r="K12">
        <v>1</v>
      </c>
    </row>
    <row r="13" spans="1:11">
      <c r="A13" s="7" t="s">
        <v>17</v>
      </c>
      <c r="B13" t="s">
        <v>111</v>
      </c>
      <c r="C13" t="s">
        <v>206</v>
      </c>
      <c r="D13" t="s">
        <v>95</v>
      </c>
      <c r="E13" t="s">
        <v>141</v>
      </c>
      <c r="F13" t="s">
        <v>143</v>
      </c>
      <c r="G13" t="s">
        <v>51</v>
      </c>
      <c r="H13" s="2"/>
      <c r="I13">
        <v>12</v>
      </c>
      <c r="J13" t="s">
        <v>167</v>
      </c>
      <c r="K13">
        <v>0</v>
      </c>
    </row>
    <row r="14" spans="1:11">
      <c r="A14" s="7" t="s">
        <v>30</v>
      </c>
      <c r="B14" t="s">
        <v>104</v>
      </c>
      <c r="C14" t="s">
        <v>206</v>
      </c>
      <c r="D14" t="s">
        <v>95</v>
      </c>
      <c r="E14" t="s">
        <v>141</v>
      </c>
      <c r="F14" t="s">
        <v>143</v>
      </c>
      <c r="G14" t="s">
        <v>51</v>
      </c>
      <c r="H14" s="2"/>
      <c r="I14">
        <v>12</v>
      </c>
      <c r="J14" t="s">
        <v>167</v>
      </c>
      <c r="K14">
        <v>0</v>
      </c>
    </row>
    <row r="15" spans="1:11">
      <c r="A15" s="7" t="s">
        <v>31</v>
      </c>
      <c r="B15" t="s">
        <v>105</v>
      </c>
      <c r="C15" t="s">
        <v>206</v>
      </c>
      <c r="D15" t="s">
        <v>95</v>
      </c>
      <c r="E15" t="s">
        <v>141</v>
      </c>
      <c r="F15" t="s">
        <v>143</v>
      </c>
      <c r="G15" t="s">
        <v>51</v>
      </c>
      <c r="H15" s="2"/>
      <c r="I15">
        <v>12</v>
      </c>
      <c r="J15" t="s">
        <v>167</v>
      </c>
      <c r="K15">
        <v>0</v>
      </c>
    </row>
    <row r="16" spans="1:11">
      <c r="A16" s="7" t="s">
        <v>32</v>
      </c>
      <c r="B16" t="s">
        <v>203</v>
      </c>
      <c r="C16" t="s">
        <v>162</v>
      </c>
      <c r="D16" t="s">
        <v>95</v>
      </c>
      <c r="E16" t="s">
        <v>140</v>
      </c>
      <c r="F16" t="s">
        <v>143</v>
      </c>
      <c r="G16" t="s">
        <v>87</v>
      </c>
      <c r="H16" s="2"/>
      <c r="I16">
        <v>48</v>
      </c>
      <c r="J16" t="s">
        <v>169</v>
      </c>
      <c r="K16">
        <v>1</v>
      </c>
    </row>
    <row r="17" spans="1:12">
      <c r="A17" s="7" t="s">
        <v>35</v>
      </c>
      <c r="B17" t="s">
        <v>161</v>
      </c>
      <c r="C17" t="s">
        <v>162</v>
      </c>
      <c r="D17" t="s">
        <v>95</v>
      </c>
      <c r="E17" t="s">
        <v>140</v>
      </c>
      <c r="F17" t="s">
        <v>143</v>
      </c>
      <c r="G17" t="s">
        <v>87</v>
      </c>
      <c r="H17" s="2"/>
      <c r="I17">
        <v>48</v>
      </c>
      <c r="J17" t="s">
        <v>169</v>
      </c>
      <c r="K17">
        <v>1</v>
      </c>
    </row>
    <row r="18" spans="1:12">
      <c r="A18" s="7" t="s">
        <v>36</v>
      </c>
      <c r="B18" t="s">
        <v>88</v>
      </c>
      <c r="C18" t="s">
        <v>190</v>
      </c>
      <c r="D18" t="s">
        <v>95</v>
      </c>
      <c r="E18" t="s">
        <v>140</v>
      </c>
      <c r="F18" t="s">
        <v>143</v>
      </c>
      <c r="G18" t="s">
        <v>87</v>
      </c>
      <c r="H18" s="2"/>
      <c r="I18">
        <v>48</v>
      </c>
      <c r="J18" t="s">
        <v>169</v>
      </c>
      <c r="K18">
        <v>1</v>
      </c>
    </row>
    <row r="19" spans="1:12">
      <c r="A19" s="8" t="s">
        <v>9</v>
      </c>
      <c r="B19" s="9" t="s">
        <v>107</v>
      </c>
      <c r="C19" t="s">
        <v>186</v>
      </c>
      <c r="D19" t="s">
        <v>96</v>
      </c>
      <c r="E19" t="s">
        <v>139</v>
      </c>
      <c r="F19" t="s">
        <v>144</v>
      </c>
      <c r="G19" t="s">
        <v>90</v>
      </c>
      <c r="I19">
        <v>48</v>
      </c>
      <c r="J19" t="s">
        <v>169</v>
      </c>
      <c r="K19">
        <v>1</v>
      </c>
      <c r="L19" s="2"/>
    </row>
    <row r="20" spans="1:12">
      <c r="A20" s="8" t="s">
        <v>10</v>
      </c>
      <c r="B20" s="10" t="s">
        <v>106</v>
      </c>
      <c r="C20" t="s">
        <v>186</v>
      </c>
      <c r="D20" t="s">
        <v>96</v>
      </c>
      <c r="E20" t="s">
        <v>139</v>
      </c>
      <c r="F20" t="s">
        <v>144</v>
      </c>
      <c r="G20" t="s">
        <v>90</v>
      </c>
      <c r="I20">
        <v>48</v>
      </c>
      <c r="J20" t="s">
        <v>169</v>
      </c>
      <c r="K20">
        <v>1</v>
      </c>
      <c r="L20" s="2"/>
    </row>
    <row r="21" spans="1:12">
      <c r="A21" s="8" t="s">
        <v>11</v>
      </c>
      <c r="B21" t="s">
        <v>120</v>
      </c>
      <c r="C21" t="s">
        <v>137</v>
      </c>
      <c r="D21" t="s">
        <v>96</v>
      </c>
      <c r="E21" t="s">
        <v>139</v>
      </c>
      <c r="F21" t="s">
        <v>144</v>
      </c>
      <c r="G21" t="s">
        <v>92</v>
      </c>
      <c r="I21">
        <v>48</v>
      </c>
      <c r="J21" t="s">
        <v>169</v>
      </c>
      <c r="K21">
        <v>1</v>
      </c>
      <c r="L21" s="2"/>
    </row>
    <row r="22" spans="1:12">
      <c r="A22" s="8" t="s">
        <v>12</v>
      </c>
      <c r="B22" t="s">
        <v>108</v>
      </c>
      <c r="C22" t="s">
        <v>190</v>
      </c>
      <c r="D22" t="s">
        <v>96</v>
      </c>
      <c r="E22" t="s">
        <v>139</v>
      </c>
      <c r="F22" t="s">
        <v>144</v>
      </c>
      <c r="G22" t="s">
        <v>93</v>
      </c>
      <c r="I22">
        <v>48</v>
      </c>
      <c r="J22" t="s">
        <v>169</v>
      </c>
      <c r="K22">
        <v>1</v>
      </c>
      <c r="L22" s="2"/>
    </row>
    <row r="23" spans="1:12">
      <c r="A23" s="8" t="s">
        <v>13</v>
      </c>
      <c r="B23" t="s">
        <v>121</v>
      </c>
      <c r="C23" t="s">
        <v>190</v>
      </c>
      <c r="D23" t="s">
        <v>96</v>
      </c>
      <c r="E23" t="s">
        <v>139</v>
      </c>
      <c r="F23" t="s">
        <v>144</v>
      </c>
      <c r="G23" t="s">
        <v>93</v>
      </c>
      <c r="I23">
        <v>48</v>
      </c>
      <c r="J23" t="s">
        <v>169</v>
      </c>
      <c r="K23">
        <v>1</v>
      </c>
      <c r="L23" s="2"/>
    </row>
    <row r="24" spans="1:12">
      <c r="A24" s="8" t="s">
        <v>14</v>
      </c>
      <c r="B24" t="s">
        <v>122</v>
      </c>
      <c r="C24" t="s">
        <v>190</v>
      </c>
      <c r="D24" t="s">
        <v>96</v>
      </c>
      <c r="E24" t="s">
        <v>139</v>
      </c>
      <c r="F24" t="s">
        <v>144</v>
      </c>
      <c r="G24" t="s">
        <v>93</v>
      </c>
      <c r="I24">
        <v>48</v>
      </c>
      <c r="J24" t="s">
        <v>169</v>
      </c>
      <c r="K24">
        <v>1</v>
      </c>
      <c r="L24" s="2"/>
    </row>
    <row r="25" spans="1:12">
      <c r="A25" s="8" t="s">
        <v>15</v>
      </c>
      <c r="B25" t="s">
        <v>119</v>
      </c>
      <c r="C25" t="s">
        <v>189</v>
      </c>
      <c r="D25" t="s">
        <v>96</v>
      </c>
      <c r="E25" t="s">
        <v>139</v>
      </c>
      <c r="F25" t="s">
        <v>144</v>
      </c>
      <c r="G25" t="s">
        <v>90</v>
      </c>
      <c r="I25">
        <v>48</v>
      </c>
      <c r="J25" t="s">
        <v>169</v>
      </c>
      <c r="K25">
        <v>1</v>
      </c>
      <c r="L25" s="2"/>
    </row>
    <row r="26" spans="1:12">
      <c r="A26" s="8" t="s">
        <v>16</v>
      </c>
      <c r="B26" t="s">
        <v>123</v>
      </c>
      <c r="C26" t="s">
        <v>188</v>
      </c>
      <c r="D26" t="s">
        <v>96</v>
      </c>
      <c r="E26" t="s">
        <v>139</v>
      </c>
      <c r="F26" t="s">
        <v>144</v>
      </c>
      <c r="G26" t="s">
        <v>146</v>
      </c>
      <c r="I26">
        <v>48</v>
      </c>
      <c r="J26" t="s">
        <v>169</v>
      </c>
      <c r="K26">
        <v>1</v>
      </c>
      <c r="L26" s="2"/>
    </row>
    <row r="27" spans="1:12">
      <c r="A27" s="5" t="s">
        <v>19</v>
      </c>
      <c r="B27" t="s">
        <v>152</v>
      </c>
      <c r="C27" t="s">
        <v>150</v>
      </c>
      <c r="D27" t="s">
        <v>97</v>
      </c>
      <c r="E27" t="s">
        <v>141</v>
      </c>
      <c r="F27" t="s">
        <v>143</v>
      </c>
      <c r="G27" t="s">
        <v>94</v>
      </c>
      <c r="I27">
        <v>12</v>
      </c>
      <c r="J27" t="s">
        <v>169</v>
      </c>
      <c r="K27">
        <v>1</v>
      </c>
    </row>
    <row r="28" spans="1:12">
      <c r="A28" s="5" t="s">
        <v>20</v>
      </c>
      <c r="B28" t="s">
        <v>153</v>
      </c>
      <c r="C28" t="s">
        <v>150</v>
      </c>
      <c r="D28" t="s">
        <v>97</v>
      </c>
      <c r="E28" t="s">
        <v>141</v>
      </c>
      <c r="F28" t="s">
        <v>143</v>
      </c>
      <c r="G28" t="s">
        <v>94</v>
      </c>
      <c r="I28">
        <v>12</v>
      </c>
      <c r="J28" t="s">
        <v>169</v>
      </c>
      <c r="K28">
        <v>1</v>
      </c>
    </row>
    <row r="29" spans="1:12">
      <c r="A29" s="5" t="s">
        <v>21</v>
      </c>
      <c r="B29" t="s">
        <v>155</v>
      </c>
      <c r="C29" t="s">
        <v>150</v>
      </c>
      <c r="D29" t="s">
        <v>97</v>
      </c>
      <c r="E29" t="s">
        <v>141</v>
      </c>
      <c r="F29" t="s">
        <v>143</v>
      </c>
      <c r="G29" t="s">
        <v>94</v>
      </c>
      <c r="I29">
        <v>12</v>
      </c>
      <c r="J29" t="s">
        <v>169</v>
      </c>
      <c r="K29">
        <v>1</v>
      </c>
    </row>
    <row r="30" spans="1:12">
      <c r="A30" s="5" t="s">
        <v>22</v>
      </c>
      <c r="B30" t="s">
        <v>154</v>
      </c>
      <c r="C30" t="s">
        <v>150</v>
      </c>
      <c r="D30" t="s">
        <v>97</v>
      </c>
      <c r="E30" t="s">
        <v>141</v>
      </c>
      <c r="F30" t="s">
        <v>143</v>
      </c>
      <c r="G30" t="s">
        <v>94</v>
      </c>
      <c r="I30">
        <v>12</v>
      </c>
      <c r="J30" t="s">
        <v>169</v>
      </c>
      <c r="K30">
        <v>1</v>
      </c>
    </row>
    <row r="31" spans="1:12">
      <c r="A31" s="5" t="s">
        <v>18</v>
      </c>
      <c r="B31" t="s">
        <v>156</v>
      </c>
      <c r="C31" t="s">
        <v>150</v>
      </c>
      <c r="D31" t="s">
        <v>97</v>
      </c>
      <c r="E31" t="s">
        <v>141</v>
      </c>
      <c r="F31" t="s">
        <v>143</v>
      </c>
      <c r="G31" t="s">
        <v>94</v>
      </c>
      <c r="I31">
        <v>12</v>
      </c>
      <c r="J31" t="s">
        <v>169</v>
      </c>
      <c r="K31">
        <v>1</v>
      </c>
    </row>
    <row r="32" spans="1:12">
      <c r="A32" s="5" t="s">
        <v>45</v>
      </c>
      <c r="B32" t="s">
        <v>157</v>
      </c>
      <c r="C32" t="s">
        <v>150</v>
      </c>
      <c r="D32" t="s">
        <v>97</v>
      </c>
      <c r="E32" t="s">
        <v>141</v>
      </c>
      <c r="F32" t="s">
        <v>143</v>
      </c>
      <c r="G32" t="s">
        <v>94</v>
      </c>
      <c r="I32">
        <v>12</v>
      </c>
      <c r="J32" t="s">
        <v>169</v>
      </c>
      <c r="K32">
        <v>1</v>
      </c>
    </row>
    <row r="33" spans="1:12">
      <c r="A33" s="5" t="s">
        <v>46</v>
      </c>
      <c r="B33" t="s">
        <v>158</v>
      </c>
      <c r="C33" t="s">
        <v>150</v>
      </c>
      <c r="D33" t="s">
        <v>97</v>
      </c>
      <c r="E33" t="s">
        <v>141</v>
      </c>
      <c r="F33" t="s">
        <v>143</v>
      </c>
      <c r="G33" t="s">
        <v>94</v>
      </c>
      <c r="I33">
        <v>12</v>
      </c>
      <c r="J33" t="s">
        <v>169</v>
      </c>
      <c r="K33">
        <v>1</v>
      </c>
    </row>
    <row r="34" spans="1:12">
      <c r="A34" s="5" t="s">
        <v>47</v>
      </c>
      <c r="B34" t="s">
        <v>159</v>
      </c>
      <c r="C34" t="s">
        <v>150</v>
      </c>
      <c r="D34" t="s">
        <v>97</v>
      </c>
      <c r="E34" t="s">
        <v>141</v>
      </c>
      <c r="F34" t="s">
        <v>143</v>
      </c>
      <c r="G34" t="s">
        <v>94</v>
      </c>
      <c r="I34">
        <v>12</v>
      </c>
      <c r="J34" t="s">
        <v>169</v>
      </c>
      <c r="K34">
        <v>1</v>
      </c>
    </row>
    <row r="35" spans="1:12">
      <c r="A35" s="5" t="s">
        <v>48</v>
      </c>
      <c r="B35" t="s">
        <v>160</v>
      </c>
      <c r="C35" t="s">
        <v>150</v>
      </c>
      <c r="D35" t="s">
        <v>97</v>
      </c>
      <c r="E35" t="s">
        <v>141</v>
      </c>
      <c r="F35" t="s">
        <v>143</v>
      </c>
      <c r="G35" t="s">
        <v>94</v>
      </c>
      <c r="I35">
        <v>12</v>
      </c>
      <c r="J35" t="s">
        <v>169</v>
      </c>
      <c r="K35">
        <v>1</v>
      </c>
    </row>
    <row r="36" spans="1:12">
      <c r="A36" s="5" t="s">
        <v>0</v>
      </c>
      <c r="B36" t="s">
        <v>124</v>
      </c>
      <c r="C36" t="s">
        <v>187</v>
      </c>
      <c r="D36" t="s">
        <v>97</v>
      </c>
      <c r="E36" t="s">
        <v>140</v>
      </c>
      <c r="F36" t="s">
        <v>143</v>
      </c>
      <c r="G36" t="s">
        <v>54</v>
      </c>
      <c r="I36">
        <v>12</v>
      </c>
      <c r="J36" t="s">
        <v>168</v>
      </c>
      <c r="K36">
        <v>0</v>
      </c>
    </row>
    <row r="37" spans="1:12">
      <c r="A37" s="5" t="s">
        <v>8</v>
      </c>
      <c r="B37" t="s">
        <v>125</v>
      </c>
      <c r="C37" t="s">
        <v>149</v>
      </c>
      <c r="D37" t="s">
        <v>97</v>
      </c>
      <c r="E37" t="s">
        <v>170</v>
      </c>
      <c r="F37" t="s">
        <v>143</v>
      </c>
      <c r="G37" t="s">
        <v>147</v>
      </c>
      <c r="I37">
        <v>4</v>
      </c>
      <c r="J37" t="s">
        <v>169</v>
      </c>
      <c r="K37">
        <v>1</v>
      </c>
    </row>
    <row r="38" spans="1:12">
      <c r="A38" t="s">
        <v>7</v>
      </c>
      <c r="B38" t="s">
        <v>164</v>
      </c>
      <c r="C38" t="s">
        <v>207</v>
      </c>
      <c r="D38" t="s">
        <v>207</v>
      </c>
      <c r="E38" t="s">
        <v>139</v>
      </c>
      <c r="F38" t="s">
        <v>144</v>
      </c>
      <c r="G38" t="s">
        <v>59</v>
      </c>
      <c r="I38">
        <v>48</v>
      </c>
      <c r="J38" t="s">
        <v>167</v>
      </c>
      <c r="K38">
        <v>0</v>
      </c>
      <c r="L38" s="1"/>
    </row>
    <row r="39" spans="1:12">
      <c r="A39" t="s">
        <v>37</v>
      </c>
      <c r="B39" t="s">
        <v>165</v>
      </c>
      <c r="C39" t="s">
        <v>151</v>
      </c>
      <c r="D39" t="s">
        <v>98</v>
      </c>
      <c r="E39" t="s">
        <v>139</v>
      </c>
      <c r="F39" t="s">
        <v>144</v>
      </c>
      <c r="G39" t="s">
        <v>59</v>
      </c>
      <c r="I39">
        <v>48</v>
      </c>
      <c r="J39" t="s">
        <v>167</v>
      </c>
      <c r="K39">
        <v>0</v>
      </c>
      <c r="L39" s="1"/>
    </row>
    <row r="40" spans="1:12">
      <c r="A40" t="s">
        <v>38</v>
      </c>
      <c r="B40" t="s">
        <v>130</v>
      </c>
      <c r="C40" t="s">
        <v>99</v>
      </c>
      <c r="D40" t="s">
        <v>99</v>
      </c>
      <c r="E40" t="s">
        <v>139</v>
      </c>
      <c r="F40" t="s">
        <v>144</v>
      </c>
      <c r="G40" t="s">
        <v>90</v>
      </c>
      <c r="I40">
        <v>48</v>
      </c>
      <c r="J40" t="s">
        <v>169</v>
      </c>
      <c r="K40">
        <v>1</v>
      </c>
      <c r="L40" s="1"/>
    </row>
    <row r="41" spans="1:12">
      <c r="A41" t="s">
        <v>39</v>
      </c>
      <c r="B41" t="s">
        <v>131</v>
      </c>
      <c r="C41" t="s">
        <v>99</v>
      </c>
      <c r="D41" t="s">
        <v>99</v>
      </c>
      <c r="E41" t="s">
        <v>139</v>
      </c>
      <c r="F41" t="s">
        <v>144</v>
      </c>
      <c r="G41" t="s">
        <v>90</v>
      </c>
      <c r="I41">
        <v>48</v>
      </c>
      <c r="J41" t="s">
        <v>169</v>
      </c>
      <c r="K41">
        <v>1</v>
      </c>
      <c r="L41" s="1"/>
    </row>
    <row r="42" spans="1:12">
      <c r="A42" t="s">
        <v>40</v>
      </c>
      <c r="B42" t="s">
        <v>132</v>
      </c>
      <c r="C42" t="s">
        <v>100</v>
      </c>
      <c r="D42" t="s">
        <v>100</v>
      </c>
      <c r="E42" t="s">
        <v>139</v>
      </c>
      <c r="F42" t="s">
        <v>144</v>
      </c>
      <c r="G42" t="s">
        <v>90</v>
      </c>
      <c r="I42">
        <v>48</v>
      </c>
      <c r="J42" t="s">
        <v>169</v>
      </c>
      <c r="K42">
        <v>1</v>
      </c>
      <c r="L42" s="1"/>
    </row>
    <row r="43" spans="1:12">
      <c r="A43" t="s">
        <v>41</v>
      </c>
      <c r="B43" t="s">
        <v>133</v>
      </c>
      <c r="C43" t="s">
        <v>91</v>
      </c>
      <c r="D43" t="s">
        <v>101</v>
      </c>
      <c r="E43" t="s">
        <v>139</v>
      </c>
      <c r="F43" t="s">
        <v>144</v>
      </c>
      <c r="G43" t="s">
        <v>89</v>
      </c>
      <c r="I43">
        <v>48</v>
      </c>
      <c r="J43" t="s">
        <v>169</v>
      </c>
      <c r="K43">
        <v>1</v>
      </c>
      <c r="L43" s="1"/>
    </row>
    <row r="44" spans="1:12">
      <c r="A44" t="s">
        <v>42</v>
      </c>
      <c r="B44" t="s">
        <v>134</v>
      </c>
      <c r="C44" t="s">
        <v>91</v>
      </c>
      <c r="D44" t="s">
        <v>101</v>
      </c>
      <c r="E44" t="s">
        <v>139</v>
      </c>
      <c r="F44" t="s">
        <v>144</v>
      </c>
      <c r="G44" t="s">
        <v>89</v>
      </c>
      <c r="I44">
        <v>48</v>
      </c>
      <c r="J44" t="s">
        <v>169</v>
      </c>
      <c r="K44">
        <v>1</v>
      </c>
      <c r="L44" s="1"/>
    </row>
    <row r="45" spans="1:12">
      <c r="A45" t="s">
        <v>43</v>
      </c>
      <c r="B45" t="s">
        <v>136</v>
      </c>
      <c r="C45" t="s">
        <v>138</v>
      </c>
      <c r="D45" t="s">
        <v>102</v>
      </c>
      <c r="E45" t="s">
        <v>139</v>
      </c>
      <c r="F45" t="s">
        <v>144</v>
      </c>
      <c r="G45" t="s">
        <v>90</v>
      </c>
      <c r="I45">
        <v>48</v>
      </c>
      <c r="J45" t="s">
        <v>169</v>
      </c>
      <c r="K45">
        <v>1</v>
      </c>
    </row>
    <row r="46" spans="1:12">
      <c r="A46" t="s">
        <v>44</v>
      </c>
      <c r="B46" t="s">
        <v>135</v>
      </c>
      <c r="C46" t="s">
        <v>138</v>
      </c>
      <c r="D46" t="s">
        <v>102</v>
      </c>
      <c r="E46" t="s">
        <v>139</v>
      </c>
      <c r="F46" t="s">
        <v>144</v>
      </c>
      <c r="G46" t="s">
        <v>90</v>
      </c>
      <c r="I46">
        <v>48</v>
      </c>
      <c r="J46" t="s">
        <v>169</v>
      </c>
      <c r="K46">
        <v>1</v>
      </c>
    </row>
    <row r="47" spans="1:12">
      <c r="A47" s="8" t="s">
        <v>171</v>
      </c>
      <c r="B47" t="s">
        <v>177</v>
      </c>
      <c r="C47" t="s">
        <v>180</v>
      </c>
      <c r="D47" t="s">
        <v>180</v>
      </c>
      <c r="E47" t="s">
        <v>139</v>
      </c>
      <c r="F47" t="s">
        <v>144</v>
      </c>
      <c r="G47" t="s">
        <v>54</v>
      </c>
      <c r="I47">
        <v>48</v>
      </c>
      <c r="J47" t="s">
        <v>169</v>
      </c>
      <c r="K47">
        <v>1</v>
      </c>
      <c r="L47" s="2"/>
    </row>
    <row r="48" spans="1:12">
      <c r="A48" s="8" t="s">
        <v>172</v>
      </c>
      <c r="B48" t="s">
        <v>178</v>
      </c>
      <c r="C48" t="s">
        <v>180</v>
      </c>
      <c r="D48" t="s">
        <v>180</v>
      </c>
      <c r="E48" t="s">
        <v>139</v>
      </c>
      <c r="F48" t="s">
        <v>144</v>
      </c>
      <c r="G48" t="s">
        <v>54</v>
      </c>
      <c r="I48">
        <v>48</v>
      </c>
      <c r="J48" t="s">
        <v>169</v>
      </c>
      <c r="K48">
        <v>1</v>
      </c>
      <c r="L48" s="2"/>
    </row>
    <row r="49" spans="1:12">
      <c r="A49" s="8" t="s">
        <v>173</v>
      </c>
      <c r="B49" t="s">
        <v>179</v>
      </c>
      <c r="C49" t="s">
        <v>180</v>
      </c>
      <c r="D49" t="s">
        <v>180</v>
      </c>
      <c r="E49" t="s">
        <v>139</v>
      </c>
      <c r="F49" t="s">
        <v>144</v>
      </c>
      <c r="G49" t="s">
        <v>54</v>
      </c>
      <c r="I49">
        <v>48</v>
      </c>
      <c r="J49" t="s">
        <v>169</v>
      </c>
      <c r="K49">
        <v>1</v>
      </c>
      <c r="L49" s="2"/>
    </row>
    <row r="50" spans="1:12">
      <c r="A50" s="8" t="s">
        <v>174</v>
      </c>
      <c r="B50" t="s">
        <v>181</v>
      </c>
      <c r="C50" t="s">
        <v>180</v>
      </c>
      <c r="D50" t="s">
        <v>180</v>
      </c>
      <c r="E50" t="s">
        <v>139</v>
      </c>
      <c r="F50" t="s">
        <v>144</v>
      </c>
      <c r="G50" t="s">
        <v>54</v>
      </c>
      <c r="I50">
        <v>48</v>
      </c>
      <c r="J50" t="s">
        <v>169</v>
      </c>
      <c r="K50">
        <v>1</v>
      </c>
      <c r="L50" s="2"/>
    </row>
    <row r="51" spans="1:12">
      <c r="A51" s="8" t="s">
        <v>175</v>
      </c>
      <c r="B51" t="s">
        <v>182</v>
      </c>
      <c r="C51" t="s">
        <v>180</v>
      </c>
      <c r="D51" t="s">
        <v>180</v>
      </c>
      <c r="E51" t="s">
        <v>139</v>
      </c>
      <c r="F51" t="s">
        <v>144</v>
      </c>
      <c r="G51" t="s">
        <v>54</v>
      </c>
      <c r="I51">
        <v>48</v>
      </c>
      <c r="J51" t="s">
        <v>169</v>
      </c>
      <c r="K51">
        <v>1</v>
      </c>
      <c r="L51" s="2"/>
    </row>
    <row r="52" spans="1:12">
      <c r="A52" s="8" t="s">
        <v>176</v>
      </c>
      <c r="B52" t="s">
        <v>183</v>
      </c>
      <c r="C52" t="s">
        <v>180</v>
      </c>
      <c r="D52" t="s">
        <v>180</v>
      </c>
      <c r="E52" t="s">
        <v>139</v>
      </c>
      <c r="F52" t="s">
        <v>144</v>
      </c>
      <c r="G52" t="s">
        <v>54</v>
      </c>
      <c r="I52">
        <v>48</v>
      </c>
      <c r="J52" t="s">
        <v>169</v>
      </c>
      <c r="K52">
        <v>1</v>
      </c>
      <c r="L52" s="2"/>
    </row>
    <row r="53" spans="1:12">
      <c r="A53" s="6" t="s">
        <v>191</v>
      </c>
      <c r="B53" s="3" t="s">
        <v>192</v>
      </c>
      <c r="C53" t="s">
        <v>205</v>
      </c>
      <c r="D53" t="s">
        <v>97</v>
      </c>
      <c r="E53" t="s">
        <v>193</v>
      </c>
      <c r="F53" t="s">
        <v>143</v>
      </c>
      <c r="G53" t="s">
        <v>59</v>
      </c>
      <c r="I53">
        <v>12</v>
      </c>
      <c r="J53" t="s">
        <v>169</v>
      </c>
      <c r="K53">
        <v>1</v>
      </c>
    </row>
    <row r="54" spans="1:12">
      <c r="A54" s="6" t="s">
        <v>194</v>
      </c>
      <c r="B54" s="3" t="s">
        <v>195</v>
      </c>
      <c r="C54" s="4" t="s">
        <v>205</v>
      </c>
      <c r="D54" s="3" t="s">
        <v>97</v>
      </c>
      <c r="E54" s="3" t="s">
        <v>193</v>
      </c>
      <c r="F54" s="3" t="s">
        <v>143</v>
      </c>
      <c r="G54" s="3" t="s">
        <v>59</v>
      </c>
      <c r="I54">
        <v>12</v>
      </c>
      <c r="J54" s="3" t="s">
        <v>169</v>
      </c>
      <c r="K54">
        <v>1</v>
      </c>
    </row>
  </sheetData>
  <phoneticPr fontId="5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A18" sqref="A18"/>
    </sheetView>
  </sheetViews>
  <sheetFormatPr defaultColWidth="11.42578125" defaultRowHeight="15"/>
  <cols>
    <col min="1" max="2" width="13" bestFit="1" customWidth="1"/>
    <col min="3" max="3" width="114.7109375" bestFit="1" customWidth="1"/>
    <col min="4" max="4" width="42.7109375" bestFit="1" customWidth="1"/>
  </cols>
  <sheetData>
    <row r="1" spans="1:6">
      <c r="A1" t="str">
        <f>_xll.Thomson.Reuters.AFOSpreadsheetFormulas.DSGRID("SWPURCHSQ,SWUN%TOTQ,SWGBOND.,SWCONPRCE,SWPROPRCE,SWCPCOREF,SWREAEXFG,SWRTFOBPG,SWRTNFEFG,SWRTINCOG,SWRTHOUEG,SWRTCURGG,SWRTOTHGG,SWPMIORDQ,SWPMIPROQ,FINANSW,CODISSW,COSTPSW,INDUSSW,SWISSMI","MNEM;DS.EXPNAME;ESRCE;DS.UNIT;BDATE","-0D","","","RowHeader=true;ColHeader=true;DispSeriesDescription=true;DispDatatypeDescription=true","")</f>
        <v>Application offline. Connect to a network.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 s="5" t="s">
        <v>17</v>
      </c>
      <c r="B2" t="s">
        <v>17</v>
      </c>
      <c r="C2" t="s">
        <v>49</v>
      </c>
      <c r="D2" t="s">
        <v>50</v>
      </c>
      <c r="E2" t="s">
        <v>51</v>
      </c>
      <c r="F2" s="2">
        <v>34730</v>
      </c>
    </row>
    <row r="3" spans="1:6">
      <c r="A3" t="s">
        <v>1</v>
      </c>
      <c r="B3" t="s">
        <v>1</v>
      </c>
      <c r="C3" t="s">
        <v>52</v>
      </c>
      <c r="D3" t="s">
        <v>53</v>
      </c>
      <c r="E3" t="s">
        <v>54</v>
      </c>
      <c r="F3" s="2">
        <v>25599</v>
      </c>
    </row>
    <row r="4" spans="1:6">
      <c r="A4" s="5" t="s">
        <v>2</v>
      </c>
      <c r="B4" t="s">
        <v>2</v>
      </c>
      <c r="C4" t="s">
        <v>55</v>
      </c>
      <c r="D4" t="s">
        <v>56</v>
      </c>
      <c r="E4" t="s">
        <v>54</v>
      </c>
      <c r="F4" s="2">
        <v>18294</v>
      </c>
    </row>
    <row r="5" spans="1:6">
      <c r="A5" s="5" t="s">
        <v>3</v>
      </c>
      <c r="B5" t="s">
        <v>3</v>
      </c>
      <c r="C5" t="s">
        <v>57</v>
      </c>
      <c r="D5" t="s">
        <v>58</v>
      </c>
      <c r="E5" t="s">
        <v>59</v>
      </c>
      <c r="F5" s="2">
        <v>19390</v>
      </c>
    </row>
    <row r="6" spans="1:6">
      <c r="A6" s="5" t="s">
        <v>4</v>
      </c>
      <c r="B6" t="s">
        <v>4</v>
      </c>
      <c r="C6" t="s">
        <v>60</v>
      </c>
      <c r="D6" t="s">
        <v>58</v>
      </c>
      <c r="E6" t="s">
        <v>59</v>
      </c>
      <c r="F6" s="2">
        <v>23042</v>
      </c>
    </row>
    <row r="7" spans="1:6">
      <c r="A7" s="5" t="s">
        <v>5</v>
      </c>
      <c r="B7" t="s">
        <v>5</v>
      </c>
      <c r="C7" t="s">
        <v>61</v>
      </c>
      <c r="D7" t="s">
        <v>62</v>
      </c>
      <c r="E7" t="s">
        <v>59</v>
      </c>
      <c r="F7" s="2">
        <v>36677</v>
      </c>
    </row>
    <row r="8" spans="1:6">
      <c r="A8" t="s">
        <v>24</v>
      </c>
      <c r="B8" t="s">
        <v>24</v>
      </c>
      <c r="C8" t="s">
        <v>63</v>
      </c>
      <c r="D8" t="s">
        <v>62</v>
      </c>
      <c r="E8" t="s">
        <v>59</v>
      </c>
      <c r="F8" s="2">
        <v>36556</v>
      </c>
    </row>
    <row r="9" spans="1:6">
      <c r="A9" t="s">
        <v>25</v>
      </c>
      <c r="B9" t="s">
        <v>25</v>
      </c>
      <c r="C9" t="s">
        <v>64</v>
      </c>
      <c r="D9" t="s">
        <v>62</v>
      </c>
      <c r="E9" t="s">
        <v>59</v>
      </c>
      <c r="F9" s="2">
        <v>36556</v>
      </c>
    </row>
    <row r="10" spans="1:6">
      <c r="A10" t="s">
        <v>26</v>
      </c>
      <c r="B10" t="s">
        <v>26</v>
      </c>
      <c r="C10" t="s">
        <v>65</v>
      </c>
      <c r="D10" t="s">
        <v>62</v>
      </c>
      <c r="E10" t="s">
        <v>59</v>
      </c>
      <c r="F10" s="2">
        <v>36556</v>
      </c>
    </row>
    <row r="11" spans="1:6">
      <c r="A11" t="s">
        <v>27</v>
      </c>
      <c r="B11" t="s">
        <v>27</v>
      </c>
      <c r="C11" t="s">
        <v>66</v>
      </c>
      <c r="D11" t="s">
        <v>62</v>
      </c>
      <c r="E11" t="s">
        <v>59</v>
      </c>
      <c r="F11" s="2">
        <v>36556</v>
      </c>
    </row>
    <row r="12" spans="1:6">
      <c r="A12" t="s">
        <v>23</v>
      </c>
      <c r="B12" t="s">
        <v>23</v>
      </c>
      <c r="C12" t="s">
        <v>67</v>
      </c>
      <c r="D12" t="s">
        <v>62</v>
      </c>
      <c r="E12" t="s">
        <v>59</v>
      </c>
      <c r="F12" s="2">
        <v>36556</v>
      </c>
    </row>
    <row r="13" spans="1:6">
      <c r="A13" t="s">
        <v>28</v>
      </c>
      <c r="B13" t="s">
        <v>28</v>
      </c>
      <c r="C13" t="s">
        <v>68</v>
      </c>
      <c r="D13" t="s">
        <v>62</v>
      </c>
      <c r="E13" t="s">
        <v>59</v>
      </c>
      <c r="F13" s="2">
        <v>36556</v>
      </c>
    </row>
    <row r="14" spans="1:6">
      <c r="A14" t="s">
        <v>29</v>
      </c>
      <c r="B14" t="s">
        <v>29</v>
      </c>
      <c r="C14" t="s">
        <v>69</v>
      </c>
      <c r="D14" t="s">
        <v>62</v>
      </c>
      <c r="E14" t="s">
        <v>59</v>
      </c>
      <c r="F14" s="2">
        <v>36556</v>
      </c>
    </row>
    <row r="15" spans="1:6">
      <c r="A15" s="5" t="s">
        <v>30</v>
      </c>
      <c r="B15" t="s">
        <v>30</v>
      </c>
      <c r="C15" t="s">
        <v>70</v>
      </c>
      <c r="D15" t="s">
        <v>50</v>
      </c>
      <c r="E15" t="s">
        <v>51</v>
      </c>
      <c r="F15" s="2">
        <v>34730</v>
      </c>
    </row>
    <row r="16" spans="1:6">
      <c r="A16" s="5" t="s">
        <v>31</v>
      </c>
      <c r="B16" t="s">
        <v>31</v>
      </c>
      <c r="C16" t="s">
        <v>71</v>
      </c>
      <c r="D16" t="s">
        <v>50</v>
      </c>
      <c r="E16" t="s">
        <v>51</v>
      </c>
      <c r="F16" s="2">
        <v>34730</v>
      </c>
    </row>
    <row r="17" spans="1:6">
      <c r="A17" s="5" t="s">
        <v>32</v>
      </c>
      <c r="B17" t="s">
        <v>32</v>
      </c>
      <c r="C17" t="s">
        <v>72</v>
      </c>
      <c r="D17" t="s">
        <v>73</v>
      </c>
      <c r="E17" t="s">
        <v>74</v>
      </c>
      <c r="F17" s="2">
        <v>26665</v>
      </c>
    </row>
    <row r="18" spans="1:6">
      <c r="A18" t="s">
        <v>33</v>
      </c>
      <c r="B18" t="s">
        <v>33</v>
      </c>
      <c r="C18" t="s">
        <v>75</v>
      </c>
      <c r="D18" t="s">
        <v>73</v>
      </c>
      <c r="E18" t="s">
        <v>74</v>
      </c>
      <c r="F18" s="2">
        <v>26665</v>
      </c>
    </row>
    <row r="19" spans="1:6">
      <c r="A19" t="s">
        <v>34</v>
      </c>
      <c r="B19" t="s">
        <v>34</v>
      </c>
      <c r="C19" t="s">
        <v>76</v>
      </c>
      <c r="D19" t="s">
        <v>73</v>
      </c>
      <c r="E19" t="s">
        <v>74</v>
      </c>
      <c r="F19" s="2">
        <v>31610</v>
      </c>
    </row>
    <row r="20" spans="1:6">
      <c r="A20" s="5" t="s">
        <v>35</v>
      </c>
      <c r="B20" t="s">
        <v>35</v>
      </c>
      <c r="C20" t="s">
        <v>77</v>
      </c>
      <c r="D20" t="s">
        <v>73</v>
      </c>
      <c r="E20" t="s">
        <v>74</v>
      </c>
      <c r="F20" s="2">
        <v>26665</v>
      </c>
    </row>
    <row r="21" spans="1:6">
      <c r="A21" s="5" t="s">
        <v>36</v>
      </c>
      <c r="B21" t="s">
        <v>36</v>
      </c>
      <c r="C21" t="s">
        <v>78</v>
      </c>
      <c r="D21" t="s">
        <v>73</v>
      </c>
      <c r="E21" t="s">
        <v>74</v>
      </c>
      <c r="F21" s="2">
        <v>32324</v>
      </c>
    </row>
  </sheetData>
  <dataValidations count="1">
    <dataValidation allowBlank="1" showErrorMessage="1" promptTitle="TRAFO" prompt="$A$1:$F$21" sqref="A1" xr:uid="{00000000-0002-0000-0100-000000000000}"/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datastream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Kronenberg  Philipp</cp:lastModifiedBy>
  <dcterms:created xsi:type="dcterms:W3CDTF">2019-08-21T12:28:56Z</dcterms:created>
  <dcterms:modified xsi:type="dcterms:W3CDTF">2026-04-09T11:13:07Z</dcterms:modified>
</cp:coreProperties>
</file>